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2151CE9-97B7-4851-AC74-5B55B5A1BB61}" xr6:coauthVersionLast="47" xr6:coauthVersionMax="47" xr10:uidLastSave="{00000000-0000-0000-0000-000000000000}"/>
  <bookViews>
    <workbookView xWindow="-110" yWindow="-110" windowWidth="19420" windowHeight="11500" xr2:uid="{EEE1C979-6BC6-4257-8D23-3305D66FC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12" i="1"/>
  <c r="P11" i="1"/>
  <c r="P9" i="1"/>
  <c r="P8" i="1"/>
  <c r="P2" i="1"/>
  <c r="Q9" i="1" l="1"/>
  <c r="Q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L2" authorId="0" shapeId="0" xr:uid="{722F6CCC-1B52-4A9C-8893-4FC03D3076B5}">
      <text>
        <r>
          <rPr>
            <sz val="10"/>
            <color rgb="FF000000"/>
            <rFont val="Aptos Narrow"/>
            <scheme val="minor"/>
          </rPr>
          <t>======
ID#AAAB3CvB3Sc
    (2026-04-06 00:51:48)
Selesai awal april</t>
        </r>
      </text>
    </comment>
    <comment ref="E3" authorId="0" shapeId="0" xr:uid="{F51DFA48-60E8-49AF-BE64-1899A23D0DEF}">
      <text>
        <r>
          <rPr>
            <sz val="10"/>
            <color rgb="FF000000"/>
            <rFont val="Aptos Narrow"/>
            <scheme val="minor"/>
          </rPr>
          <t>======
ID#AAAB3CvB3Xo
    (2026-04-06 00:51:48)
sebelum amandemen 2.901.429.000
	-Konstruksi dan Penyaluran PLN UPT Makassar</t>
        </r>
      </text>
    </comment>
    <comment ref="H3" authorId="0" shapeId="0" xr:uid="{DE9CFAFB-B1B3-4280-BE88-54FBD0BF40D6}">
      <text>
        <r>
          <rPr>
            <sz val="10"/>
            <color rgb="FF000000"/>
            <rFont val="Aptos Narrow"/>
            <scheme val="minor"/>
          </rPr>
          <t>======
ID#AAAB3CvB3So
tc={A24AABF1-3EF7-436E-8231-F58FEABBB61A}    (2026-04-06 00:51:48)
[Threaded comment]
Your version of Excel allows you to read this threaded comment; however, any edits to it will get removed if the file is opened in a newer version of Excel. Learn more: https://go.microsoft.com/fwlink/?linkid=870924
Comment:
    ada surat teguran no. 0907/TRS.01.03/F4701000/2025, tanggal 22 Agustus 2025</t>
        </r>
      </text>
    </comment>
    <comment ref="L3" authorId="0" shapeId="0" xr:uid="{4995A531-7F7C-47F0-8F9A-36D2EABB24B3}">
      <text>
        <r>
          <rPr>
            <sz val="10"/>
            <color rgb="FF000000"/>
            <rFont val="Aptos Narrow"/>
            <scheme val="minor"/>
          </rPr>
          <t>======
ID#AAAB3CvB3QQ
tc={959CBEF7-012B-4607-B2B7-9A6FAB685443}    (2026-04-06 00:51:48)
[Threaded comment]
Your version of Excel allows you to read this threaded comment; however, any edits to it will get removed if the file is opened in a newer version of Excel. Learn more: https://go.microsoft.com/fwlink/?linkid=870924
Comment:
    Surat perpanjangan jampel sampai 24 Feb 25 (on progress di bank overload BRI)</t>
        </r>
      </text>
    </comment>
    <comment ref="L7" authorId="0" shapeId="0" xr:uid="{DAE97C20-116A-496F-B90E-B117C8BEA5FF}">
      <text>
        <r>
          <rPr>
            <sz val="10"/>
            <color rgb="FF000000"/>
            <rFont val="Aptos Narrow"/>
            <scheme val="minor"/>
          </rPr>
          <t>======
ID#AAAB3CvB3SE
    (2026-04-06 00:51:48)
Pekerjaan Selesai 18 Juni
Surat perpanjangan sampai 24 Juni 2025 (Tidak ada perpanjangan jampel, menuggu penagihan)</t>
        </r>
      </text>
    </comment>
    <comment ref="L8" authorId="0" shapeId="0" xr:uid="{AAB0AF97-D547-40CB-80C7-8184C0C39F7B}">
      <text>
        <r>
          <rPr>
            <sz val="10"/>
            <color rgb="FF000000"/>
            <rFont val="Aptos Narrow"/>
            <scheme val="minor"/>
          </rPr>
          <t>======
ID#AAAB3CvB3R0
tc={22E8054E-F828-4E65-801A-2971786EE1DF}    (2026-04-06 00:51:48)
[Threaded comment]
Your version of Excel allows you to read this threaded comment; however, any edits to it will get removed if the file is opened in a newer version of Excel. Learn more: https://go.microsoft.com/fwlink/?linkid=870924
Comment:
    Gagal padam, reschedule thn 2026, Surat Perpanjangan Jampel sampai Feb 2026 on progress di bank</t>
        </r>
      </text>
    </comment>
    <comment ref="B10" authorId="0" shapeId="0" xr:uid="{C082A36A-AFC7-463D-9ED2-5EFDBA463886}">
      <text>
        <r>
          <rPr>
            <sz val="10"/>
            <color rgb="FF000000"/>
            <rFont val="Aptos Narrow"/>
            <scheme val="minor"/>
          </rPr>
          <t>======
ID#AAAB3CvB3X0
tc={4AE249E9-F3B3-498C-852D-514F5CCE6B24}    (2026-04-06 00:51:48)
[Threaded comment]
Your version of Excel allows you to read this threaded comment; however, any edits to it will get removed if the file is opened in a newer version of Excel. Learn more: https://go.microsoft.com/fwlink/?linkid=870924
Comment:
    Pekerjaan selesai tanggal 17 April 2025, akan dilakukan AMD Kerja kurang</t>
        </r>
      </text>
    </comment>
    <comment ref="E10" authorId="0" shapeId="0" xr:uid="{1D952CE4-537F-44D0-8F29-29FF7A8703A5}">
      <text>
        <r>
          <rPr>
            <sz val="10"/>
            <color rgb="FF000000"/>
            <rFont val="Aptos Narrow"/>
            <scheme val="minor"/>
          </rPr>
          <t>======
ID#AAAB3CvB3Vo
tc={756803CE-FF8B-492C-83A6-34EB5DE7D7D9}    (2026-04-06 00:51:48)
[Threaded comment]
Your version of Excel allows you to read this threaded comment; however, any edits to it will get removed if the file is opened in a newer version of Excel. Learn more: https://go.microsoft.com/fwlink/?linkid=870924
Comment:
    fix, kerja kurang
Reply:
    nilai awal 4.870.086.000</t>
        </r>
      </text>
    </comment>
    <comment ref="L10" authorId="0" shapeId="0" xr:uid="{EC781170-5DF3-4D7F-B55D-25495B58072A}">
      <text>
        <r>
          <rPr>
            <sz val="10"/>
            <color rgb="FF000000"/>
            <rFont val="Aptos Narrow"/>
            <scheme val="minor"/>
          </rPr>
          <t>======
ID#AAAB3CvB3T0
tc={B191AE4B-FD80-4395-8703-06DF26887608}    (2026-04-06 00:51:48)
[Threaded comment]
Your version of Excel allows you to read this threaded comment; however, any edits to it will get removed if the file is opened in a newer version of Excel. Learn more: https://go.microsoft.com/fwlink/?linkid=870924
Comment:
    Selesai, bulan April (ada kerja kurang)</t>
        </r>
      </text>
    </comment>
    <comment ref="H11" authorId="0" shapeId="0" xr:uid="{D53B8C23-AA7C-4F58-B0AC-CE3F99086D9E}">
      <text>
        <r>
          <rPr>
            <sz val="10"/>
            <color rgb="FF000000"/>
            <rFont val="Aptos Narrow"/>
            <scheme val="minor"/>
          </rPr>
          <t>======
ID#AAAB3CvB3Sg
tc={C976D3D5-05F8-489F-9DC7-24A80A1E1BFE}    (2026-04-06 00:51:48)
[Threaded comment]
Your version of Excel allows you to read this threaded comment; however, any edits to it will get removed if the file is opened in a newer version of Excel. Learn more: https://go.microsoft.com/fwlink/?linkid=870924
Comment:
    Menunggu kurva S progress</t>
        </r>
      </text>
    </comment>
    <comment ref="L11" authorId="0" shapeId="0" xr:uid="{63A8F2F4-EA4D-4FD1-BACF-3CA461DF7594}">
      <text>
        <r>
          <rPr>
            <sz val="10"/>
            <color rgb="FF000000"/>
            <rFont val="Aptos Narrow"/>
            <scheme val="minor"/>
          </rPr>
          <t>======
ID#AAAB3CvB3Rk
tc={099D1096-9478-4AB7-BB80-900AD501C3A0}    (2026-04-06 00:51:48)
[Threaded comment]
Your version of Excel allows you to read this threaded comment; however, any edits to it will get removed if the file is opened in a newer version of Excel. Learn more: https://go.microsoft.com/fwlink/?linkid=870924
Comment:
    Surat perpanjangan sampai 20 Des 2025
Reply:
    on progress di bank (overload BRI)</t>
        </r>
      </text>
    </comment>
    <comment ref="H12" authorId="0" shapeId="0" xr:uid="{165DE245-FAF0-479E-A4F0-E481D8C7DA2F}">
      <text>
        <r>
          <rPr>
            <sz val="10"/>
            <color rgb="FF000000"/>
            <rFont val="Aptos Narrow"/>
            <scheme val="minor"/>
          </rPr>
          <t>======
ID#AAAB3CvB3TY
tc={C3C42F06-E5B9-4479-B015-9D7C21E4BE0C}    (2026-04-06 00:51:48)
[Threaded comment]
Your version of Excel allows you to read this threaded comment; however, any edits to it will get removed if the file is opened in a newer version of Excel. Learn more: https://go.microsoft.com/fwlink/?linkid=870924
Comment:
    Surat teguran No. 0847/DIS.01.03/F47010000/2025, 08 Ags 2025</t>
        </r>
      </text>
    </comment>
    <comment ref="H13" authorId="0" shapeId="0" xr:uid="{ED199CC5-D685-4EC6-8726-217B3D0E938B}">
      <text>
        <r>
          <rPr>
            <sz val="10"/>
            <color rgb="FF000000"/>
            <rFont val="Aptos Narrow"/>
            <scheme val="minor"/>
          </rPr>
          <t>======
ID#AAAB3CvB3Xk
tc={AA32FCDA-655D-445A-A849-FC870E930F8B}    (2026-04-06 00:51:48)
[Threaded comment]
Your version of Excel allows you to read this threaded comment; however, any edits to it will get removed if the file is opened in a newer version of Excel. Learn more: https://go.microsoft.com/fwlink/?linkid=870924
Comment:
    Surat Teguran No. 0849/DIS.03.01/F4701000/2025, tgl 08 Agustus 2025</t>
        </r>
      </text>
    </comment>
    <comment ref="H14" authorId="0" shapeId="0" xr:uid="{6074EB9B-D6BE-4113-BF19-8E003875B91A}">
      <text>
        <r>
          <rPr>
            <sz val="10"/>
            <color rgb="FF000000"/>
            <rFont val="Aptos Narrow"/>
            <scheme val="minor"/>
          </rPr>
          <t>======
ID#AAAB3CvB3Tc
tc={C3124529-50D9-4AB5-82EE-5FA23257D376}    (2026-04-06 00:51:48)
[Threaded comment]
Your version of Excel allows you to read this threaded comment; however, any edits to it will get removed if the file is opened in a newer version of Excel. Learn more: https://go.microsoft.com/fwlink/?linkid=870924
Comment:
    menunggu rapat pembahasan perpanjangan waktu</t>
        </r>
      </text>
    </comment>
    <comment ref="G21" authorId="0" shapeId="0" xr:uid="{BFF8687D-3CBC-45C4-909B-DA8F728D41A3}">
      <text>
        <r>
          <rPr>
            <sz val="10"/>
            <color rgb="FF000000"/>
            <rFont val="Aptos Narrow"/>
            <scheme val="minor"/>
          </rPr>
          <t>======
ID#AAAB3CvB3Rw
tc={1690524E-C82C-4D54-B063-66E6D5492FCD}    (2026-04-06 00:51:48)
[Threaded comment]
Your version of Excel allows you to read this threaded comment; however, any edits to it will get removed if the file is opened in a newer version of Excel. Learn more: https://go.microsoft.com/fwlink/?linkid=870924
Comment:
    08 des 2025 (tgl kontrak)
15 Des 2025 (spmk)</t>
        </r>
      </text>
    </comment>
  </commentList>
</comments>
</file>

<file path=xl/sharedStrings.xml><?xml version="1.0" encoding="utf-8"?>
<sst xmlns="http://schemas.openxmlformats.org/spreadsheetml/2006/main" count="368" uniqueCount="192">
  <si>
    <t>No</t>
  </si>
  <si>
    <t>Bidang</t>
  </si>
  <si>
    <t>Unit</t>
  </si>
  <si>
    <t>KONTRAK TAHUN</t>
  </si>
  <si>
    <t>NO PRK</t>
  </si>
  <si>
    <t>URAIAN PEKERJAAN</t>
  </si>
  <si>
    <t>NO KONTRAK</t>
  </si>
  <si>
    <t>VENDOR</t>
  </si>
  <si>
    <t>NILAI KONTRAK</t>
  </si>
  <si>
    <t>TGL KONTRAK (dd/mm/yy)</t>
  </si>
  <si>
    <t>TGL AKHIR KONTRAK (dd/mm/yy)</t>
  </si>
  <si>
    <t>Transmisi</t>
  </si>
  <si>
    <t>UPT Makassar</t>
  </si>
  <si>
    <t>2023.P3BL.6.002</t>
  </si>
  <si>
    <t>Pekerjaan Pembangunan Ulang Tower 6 Tello - Mandai</t>
  </si>
  <si>
    <t>- No. Kontrak 007/DAN.01.03/PJ/F48060000/2023
- No. AMD 1284.Amd/DAN.01.03/F47010000/2024
- No. AMD II No.1363.Amd/DAN.01.03/F47010000/2024
- No. AMD III 1759.Amd/DAN.01.03/F47010000/2024</t>
  </si>
  <si>
    <t>PT Kelinci Mas Unggul</t>
  </si>
  <si>
    <t>1.751.926</t>
  </si>
  <si>
    <t>2023.P3BL.9.023</t>
  </si>
  <si>
    <t>Pengadaan dan Pemasangan Relay Proteksi Transmisi</t>
  </si>
  <si>
    <t>012/DAN.01.03/PJ/F48060000/2023
- Amandemen I : 1131.AMD/DAN.01.03/F48060000/2024
- Amandemen II : 1270.AMD/DAN. 01.03/F48060000/2024</t>
  </si>
  <si>
    <t>2. 901.429</t>
  </si>
  <si>
    <t>31- Agu-24</t>
  </si>
  <si>
    <t>Pekerjaan Pembuatan Dinding Penahan Tanah T.257 Sidrap - Makale</t>
  </si>
  <si>
    <t>090/DAN.01.02/SPK/F48060000/2023</t>
  </si>
  <si>
    <t>2024.P3BL.9.002</t>
  </si>
  <si>
    <t>Pekerjaan Penggantian MTU CT UPT Makassar</t>
  </si>
  <si>
    <t>021.PJ/DAN.01.03/F47010000/2024</t>
  </si>
  <si>
    <t>PT Dipa Jaya Sejahtera</t>
  </si>
  <si>
    <t>2024.P3BL.9.003</t>
  </si>
  <si>
    <t>Pekerjaan Penggantian MTU CVT GI Bulukumba dan GI Panakukang</t>
  </si>
  <si>
    <t>023.PJ/DAN.01.03/F47010000/2024</t>
  </si>
  <si>
    <t>PT Andekja Putra</t>
  </si>
  <si>
    <t>2024.P3BL.9.001</t>
  </si>
  <si>
    <t>Pekerjaan Penggantian MTU PMT UPT Makassar</t>
  </si>
  <si>
    <t>038.SPK/DAN.01.03/F47010000/2025</t>
  </si>
  <si>
    <t>PT SEN Enjiniring Kelistrikan</t>
  </si>
  <si>
    <t>2024.P3BL.9.004</t>
  </si>
  <si>
    <t>Pekerjaan Penggantian MTU PMS Tersebar ULTG Maros</t>
  </si>
  <si>
    <t>020.PJ/DAN.01.03/F47010000/2024</t>
  </si>
  <si>
    <t>1.283.915</t>
  </si>
  <si>
    <t>2024.P3BL.9.024</t>
  </si>
  <si>
    <t>Pekerjaan Jasa Penggantian Kapasitor Gardu Induk</t>
  </si>
  <si>
    <t>090.SPK/DAN.01.03/F47010000/2024</t>
  </si>
  <si>
    <t>24-Des-2024</t>
  </si>
  <si>
    <t>SPMK (30 Hari)</t>
  </si>
  <si>
    <t>2024.P3BL.6.024</t>
  </si>
  <si>
    <t>Pengadaan dan Penggantian Isolator Obselete Transmisi</t>
  </si>
  <si>
    <t>014.PJ/DAN.01.O3/F480600000/2024 - 1449.Amd/DAN.01.03/F47010000/2024</t>
  </si>
  <si>
    <t>KSO PT TALASALAPANG SULBAR - PT ANDEKJA PUTRA</t>
  </si>
  <si>
    <t>4.870.236</t>
  </si>
  <si>
    <t>- 29-Agu-2024
- 4-Oct-2024</t>
  </si>
  <si>
    <t>25-Mei-2025</t>
  </si>
  <si>
    <t>Pengadaan dan Penggantian Isolator Obselete Gardu Induk</t>
  </si>
  <si>
    <t>015.PJ/DAN.01.03/F48060000/2024 - 
1450.Amd/DAN.01.03/F47010000/2024</t>
  </si>
  <si>
    <t>4.256.168</t>
  </si>
  <si>
    <t>- 26-Mar-2025</t>
  </si>
  <si>
    <t>2024.P3BL.9.028</t>
  </si>
  <si>
    <t>Pekerjaan Pengadaan dan Pemasangan Neutral Current Transformer (GI Pangkep)</t>
  </si>
  <si>
    <t>089.SPK/DAN.01.03/F47010000/2024</t>
  </si>
  <si>
    <t>19-Des-2024</t>
  </si>
  <si>
    <t>2024.P3BL.9.030</t>
  </si>
  <si>
    <t>Peremajaan MK GI UPT Makassar</t>
  </si>
  <si>
    <t>013.PJ/DAN.01.03/F48060000/2024</t>
  </si>
  <si>
    <t>1.756.118</t>
  </si>
  <si>
    <t>2024.P3BL.9.033</t>
  </si>
  <si>
    <t>Pengadaan dan Pemasangan Trafo PS GI Bakaru dan GI Balusu (Termasuk Kubikel PS)</t>
  </si>
  <si>
    <t>011.PJ/DAN.01.03/F48060000/2024 
- 1448.Amd/DAN.01.03/F47010000/2024</t>
  </si>
  <si>
    <t>2.157.602</t>
  </si>
  <si>
    <t>25-Jul-2024
4-Oct-2024</t>
  </si>
  <si>
    <t>2025.P3BL.9.005</t>
  </si>
  <si>
    <t>Pekerjaan Penggantian MTU LA Gardu Induk Mandai 70 kV</t>
  </si>
  <si>
    <t>020.SPK/DAN.01.03/F47010000/2025</t>
  </si>
  <si>
    <t>PT Amperatech Solusindo Global</t>
  </si>
  <si>
    <t>26-Mei--2025</t>
  </si>
  <si>
    <t>Pekerjaan Penggantian MTU LA Gardu Induk Makale 150 kV</t>
  </si>
  <si>
    <t>034.SPK/DAN.01.03/F47010000/2025</t>
  </si>
  <si>
    <t>PT Talasalapang Sulbar</t>
  </si>
  <si>
    <t>2025.P3BL.9.006</t>
  </si>
  <si>
    <t>Pekerjaan Penggantian MTU CVT Gardu Induk Makale 150 kV</t>
  </si>
  <si>
    <t>035.SPK/DAN.01.03/F47010000/2025</t>
  </si>
  <si>
    <t>2025.P3BL.6.001</t>
  </si>
  <si>
    <t>Pekerjaan Jasa Inventarisasi ROW Reroute Tower 108 TL 150 kV Sidrap - Makale</t>
  </si>
  <si>
    <t>066.SPK/DAN.01.03/F47010000/2025</t>
  </si>
  <si>
    <t>PT Surveyor Indonesia</t>
  </si>
  <si>
    <t>31-Okt-2025</t>
  </si>
  <si>
    <t>SPMK 60 Hari</t>
  </si>
  <si>
    <t>2025.P3BL.9.004</t>
  </si>
  <si>
    <t>Pekerjaan Pengadaan Fasilitas Monitoring Online Pemeliharaan MTU</t>
  </si>
  <si>
    <t>065.SPK/DAN.01.03/F47010000/2025</t>
  </si>
  <si>
    <t>PT Indonesia Connect Plus</t>
  </si>
  <si>
    <t>28-Okt-2025</t>
  </si>
  <si>
    <t>26-Des-2025</t>
  </si>
  <si>
    <t>Pekerjaan Pemasangan MTU CVT Gardu Induk Panakukang 150 kV</t>
  </si>
  <si>
    <t>063.SPK/DAN.01.03/F47010000/2025</t>
  </si>
  <si>
    <t>13-Okt-2025</t>
  </si>
  <si>
    <t>2025.P3BL.9.008</t>
  </si>
  <si>
    <t>Pekerjaan Perbaikan Workshop Kubikel UPT Makassar</t>
  </si>
  <si>
    <t>015.PJ/DAN.01.03/F47010000/2025</t>
  </si>
  <si>
    <t>PT Fikawan Utama</t>
  </si>
  <si>
    <t>2.534.724</t>
  </si>
  <si>
    <t>15-Des-2025</t>
  </si>
  <si>
    <t>12-Agu-2026</t>
  </si>
  <si>
    <t>2025.P3BL.6.016</t>
  </si>
  <si>
    <t>Pekerjaan Penanganan Tower Kritis Tersebar UPT Makassar</t>
  </si>
  <si>
    <t>016.PJ/DAN.01.03/F47010000/2025</t>
  </si>
  <si>
    <t xml:space="preserve">Pekerjaan Pengadaan dan Penggantian NGR Tersebar UPT Makassar </t>
  </si>
  <si>
    <t>003.PJ/DAN.01.03/F47010000/2025</t>
  </si>
  <si>
    <t>KSO PT Earthing Resistances Indonesia - PT DIPA JAYA SEJAHTERA</t>
  </si>
  <si>
    <t>Pekerjaan Pengadaan dan Pemasangan Peralatan Kubikel 20 kV GI Bakaru</t>
  </si>
  <si>
    <t>010.PJ/DAN.01.03/F47010000/2025
- 0223.AMD/DAN.01.03/F47010000/2026</t>
  </si>
  <si>
    <t>3.895.212</t>
  </si>
  <si>
    <t>17-Jun-25
06-Feb-26</t>
  </si>
  <si>
    <t>Pekerjaan Pengadaan dan Pemasangan Peralatan Kubikel 20 kV GI Tallo Lama</t>
  </si>
  <si>
    <t>007.PJ/DAN.01.01/F47010000/2025</t>
  </si>
  <si>
    <t>5.101.671</t>
  </si>
  <si>
    <t>Pengadaan Dan Pemasangan Peralatan Kubikel 20 kV GI BARRU &amp; GI Balusu</t>
  </si>
  <si>
    <t>005.PJ/DAN.01.03/F47010000/2025 - 029.AMD/DAN.01.03/F47010000/2026</t>
  </si>
  <si>
    <t>7.981.988</t>
  </si>
  <si>
    <t>10-Jun-2025
04-Feb-2026</t>
  </si>
  <si>
    <t>Pengadaan Dan Pemasangan Peralatan Kubikel 20 kV GI BULUKUMBA</t>
  </si>
  <si>
    <t>004.PJ/DAN.01.03/F47010000/2025 - 0210.AMD/DAN.01.03/F47010000/2026</t>
  </si>
  <si>
    <t>4.500.606</t>
  </si>
  <si>
    <t>10-Jun-2025
4-Feb-2026</t>
  </si>
  <si>
    <t>Pekerjaan Pengadaan Dan Pemasangan Peralatan Kubikel 20 kV GI Jeneponto</t>
  </si>
  <si>
    <t>009.PJ/DAN.01.03/F47010000/2025 - 0245.AMD/DAN.01.03/F47010000/2026</t>
  </si>
  <si>
    <t>KSO PT Arlisco Elektrika Perkasa -PT Jaya Cahaya Utama</t>
  </si>
  <si>
    <t>3.893.869</t>
  </si>
  <si>
    <t>16-Jun-2025
10-Feb-2026</t>
  </si>
  <si>
    <t>Pekerjaan Pengadaan Dan Pemasangan Peralatan Kubikel 20 kV GI Makale</t>
  </si>
  <si>
    <t>008.PJ/DAN.01.03/F47010000/2025 - 0224.AMD/DAN.01.03/F47010000/2026</t>
  </si>
  <si>
    <t>PT Arisco Elektrika Perkasa</t>
  </si>
  <si>
    <t>13-Jun-2025
6-Feb-2026</t>
  </si>
  <si>
    <t>Pekerjaan penggantian MTU CT untuk Aktivasi Buspro GI Pangkep</t>
  </si>
  <si>
    <t>012.PJ/DAN.01.03/F47010000/2025</t>
  </si>
  <si>
    <t>5-Agu-2025</t>
  </si>
  <si>
    <t>SPMK 150 Hari</t>
  </si>
  <si>
    <t>Pekerjaan penggantian MTU CT untuk Aktivasi Buspro GI Sinjai</t>
  </si>
  <si>
    <t>013.PJ/DAN.01.03/F47010000/2025</t>
  </si>
  <si>
    <t>Pekerjaan pengadaan dan penggantian isolator korosif transmisi ULTG Sidrap</t>
  </si>
  <si>
    <t>001.PJ/DAN.01.03/F47010000/2026</t>
  </si>
  <si>
    <t>3.336.900</t>
  </si>
  <si>
    <t>SPMK 300 HKL</t>
  </si>
  <si>
    <t>Pengadaan dan pemasangan MRG untuk perbaikan pentanahan</t>
  </si>
  <si>
    <t>002.PJ/DAN.01.03/F47010000/2026</t>
  </si>
  <si>
    <t>PT Jaya Cahaya Utama</t>
  </si>
  <si>
    <t>1.734.441</t>
  </si>
  <si>
    <t>13-Mei-2026</t>
  </si>
  <si>
    <t>120 HKL terhitung sejak SPMK</t>
  </si>
  <si>
    <t>SISA KONTRAK (HARI)</t>
  </si>
  <si>
    <t>PROGRES SAAT INI</t>
  </si>
  <si>
    <t>STATUS KETERLAMBATAN</t>
  </si>
  <si>
    <t>Rencana COD (dd/mm/yy)</t>
  </si>
  <si>
    <t>Status Jaminan Pelaksanaan</t>
  </si>
  <si>
    <t>Tanggal Akhir Jaminan Pelaksanaan
(dd/mm/yy)</t>
  </si>
  <si>
    <t>Plan Progres (%) Terbaru</t>
  </si>
  <si>
    <t>Real Progres (%) Terbaru</t>
  </si>
  <si>
    <t>4. Masa Pemeiharaan / Retensi</t>
  </si>
  <si>
    <t>2. TERLAMBAT</t>
  </si>
  <si>
    <t>Ada</t>
  </si>
  <si>
    <t>100,00%</t>
  </si>
  <si>
    <t>0,00%</t>
  </si>
  <si>
    <t>4. Masa Pemeliharaan /Retensi</t>
  </si>
  <si>
    <t>2. Proses Pekerjaan</t>
  </si>
  <si>
    <t>1. ON SCHEDULE (TEPAT WAKTU)</t>
  </si>
  <si>
    <t>17 okt 2025</t>
  </si>
  <si>
    <t>65,79%</t>
  </si>
  <si>
    <t>4. Masa pemeliharaan / Retensi</t>
  </si>
  <si>
    <t>15 des 2025</t>
  </si>
  <si>
    <t>Tidak Ada</t>
  </si>
  <si>
    <t>50,00%</t>
  </si>
  <si>
    <t>4. Masa Pemeliharaan / Retensi</t>
  </si>
  <si>
    <t>3. Pekerjaan Selesai</t>
  </si>
  <si>
    <t>10-Okt-2025</t>
  </si>
  <si>
    <t>98,00%</t>
  </si>
  <si>
    <t>95,00%</t>
  </si>
  <si>
    <t>22-Des-2025</t>
  </si>
  <si>
    <t>65,00%</t>
  </si>
  <si>
    <t>Tidak ada</t>
  </si>
  <si>
    <t>3. Pekerjaan selesai</t>
  </si>
  <si>
    <t>23,00%</t>
  </si>
  <si>
    <t>15,00%</t>
  </si>
  <si>
    <t>74,00%</t>
  </si>
  <si>
    <t>2. Peoses Pekerjaan</t>
  </si>
  <si>
    <t>1. Persiapan</t>
  </si>
  <si>
    <t>RENCANA AKI 2026
(Ribu Rp)</t>
  </si>
  <si>
    <t>REALISASI AKI 2026
(Ribu Rp)</t>
  </si>
  <si>
    <t>PROYEKSI AI LANJ 2027 (Ribu Rp)</t>
  </si>
  <si>
    <t>1.727.804</t>
  </si>
  <si>
    <t>1.283.916</t>
  </si>
  <si>
    <t>2.128.084</t>
  </si>
  <si>
    <t>1.078.801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</si>
</sst>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&quot;-&quot;mmm&quot;-&quot;yyyy"/>
    <numFmt numFmtId="166" formatCode="d\-mmm\-yyyy"/>
  </numFmts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9"/>
      <color theme="1"/>
      <name val="Aptos Narrow"/>
      <scheme val="minor"/>
    </font>
    <font>
      <sz val="10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theme="3" tint="0.749992370372631"/>
        <bgColor rgb="FFA4C2F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quotePrefix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A1ED-3553-4CE6-AD04-515009C24ADD}">
  <dimension ref="A1:V67"/>
  <sheetViews>
    <sheetView tabSelected="1" zoomScale="66" workbookViewId="0">
      <selection activeCell="Q9" sqref="Q9"/>
    </sheetView>
  </sheetViews>
  <sheetFormatPr defaultRowHeight="14.5" x14ac:dyDescent="0.35"/>
  <cols>
    <col min="1" max="1" width="8.7265625" customWidth="1"/>
    <col min="2" max="2" width="37.36328125" customWidth="1"/>
    <col min="3" max="3" width="57.453125" customWidth="1"/>
    <col min="4" max="4" width="21.54296875" customWidth="1"/>
    <col min="6" max="6" width="15.36328125" customWidth="1"/>
    <col min="7" max="7" width="15.1796875" customWidth="1"/>
    <col min="8" max="8" width="23.08984375" customWidth="1"/>
    <col min="9" max="9" width="33.453125" customWidth="1"/>
    <col min="10" max="10" width="29.6328125" customWidth="1"/>
    <col min="12" max="12" width="26.453125" customWidth="1"/>
    <col min="17" max="17" width="27.6328125" customWidth="1"/>
    <col min="18" max="18" width="14.26953125" style="25" customWidth="1"/>
    <col min="19" max="19" width="15.6328125" style="25" customWidth="1"/>
    <col min="20" max="20" width="19.1796875" style="25" customWidth="1"/>
    <col min="21" max="21" width="18.453125" style="25" customWidth="1"/>
    <col min="22" max="22" width="20.54296875" customWidth="1"/>
  </cols>
  <sheetData>
    <row r="1" spans="1:22" ht="57.5" x14ac:dyDescent="0.35">
      <c r="A1" s="1" t="s">
        <v>0</v>
      </c>
      <c r="B1" s="1" t="s">
        <v>5</v>
      </c>
      <c r="C1" s="1" t="s">
        <v>6</v>
      </c>
      <c r="D1" s="1" t="s">
        <v>7</v>
      </c>
      <c r="E1" s="2" t="s">
        <v>8</v>
      </c>
      <c r="F1" s="3" t="s">
        <v>9</v>
      </c>
      <c r="G1" s="3" t="s">
        <v>10</v>
      </c>
      <c r="H1" s="15" t="s">
        <v>149</v>
      </c>
      <c r="I1" s="16" t="s">
        <v>150</v>
      </c>
      <c r="J1" s="16" t="s">
        <v>151</v>
      </c>
      <c r="K1" s="16" t="s">
        <v>153</v>
      </c>
      <c r="L1" s="17" t="s">
        <v>154</v>
      </c>
      <c r="M1" s="16" t="s">
        <v>155</v>
      </c>
      <c r="N1" s="16" t="s">
        <v>156</v>
      </c>
      <c r="O1" s="20" t="s">
        <v>185</v>
      </c>
      <c r="P1" s="16" t="s">
        <v>186</v>
      </c>
      <c r="Q1" s="20" t="s">
        <v>187</v>
      </c>
      <c r="R1" s="23" t="s">
        <v>1</v>
      </c>
      <c r="S1" s="23" t="s">
        <v>2</v>
      </c>
      <c r="T1" s="23" t="s">
        <v>3</v>
      </c>
      <c r="U1" s="23" t="s">
        <v>4</v>
      </c>
      <c r="V1" s="22" t="s">
        <v>152</v>
      </c>
    </row>
    <row r="2" spans="1:22" ht="23" x14ac:dyDescent="0.35">
      <c r="A2" s="4">
        <v>1</v>
      </c>
      <c r="B2" s="5" t="s">
        <v>14</v>
      </c>
      <c r="C2" s="6" t="s">
        <v>15</v>
      </c>
      <c r="D2" s="7" t="s">
        <v>16</v>
      </c>
      <c r="E2" s="8" t="s">
        <v>17</v>
      </c>
      <c r="F2" s="9">
        <v>45194</v>
      </c>
      <c r="G2" s="9">
        <v>45553</v>
      </c>
      <c r="H2" s="18">
        <v>0</v>
      </c>
      <c r="I2" s="11" t="s">
        <v>157</v>
      </c>
      <c r="J2" s="11" t="s">
        <v>158</v>
      </c>
      <c r="K2" s="11" t="s">
        <v>159</v>
      </c>
      <c r="L2" s="9">
        <v>45761</v>
      </c>
      <c r="M2" s="11" t="s">
        <v>160</v>
      </c>
      <c r="N2" s="11" t="s">
        <v>160</v>
      </c>
      <c r="O2" s="18">
        <v>0</v>
      </c>
      <c r="P2" s="21">
        <f>SUM(BK2,BM2,BO2,BQ2,BS2,BU2,BW2,BY2,CA2,CC2,CE2,CG2)</f>
        <v>0</v>
      </c>
      <c r="Q2" s="8">
        <v>309.13499999999999</v>
      </c>
      <c r="R2" s="24" t="s">
        <v>11</v>
      </c>
      <c r="S2" s="24" t="s">
        <v>12</v>
      </c>
      <c r="T2" s="24">
        <v>2023</v>
      </c>
      <c r="U2" s="24" t="s">
        <v>13</v>
      </c>
      <c r="V2" s="9">
        <v>45757</v>
      </c>
    </row>
    <row r="3" spans="1:22" ht="23" x14ac:dyDescent="0.35">
      <c r="A3" s="4">
        <v>2</v>
      </c>
      <c r="B3" s="5" t="s">
        <v>19</v>
      </c>
      <c r="C3" s="7" t="s">
        <v>20</v>
      </c>
      <c r="D3" s="7" t="s">
        <v>16</v>
      </c>
      <c r="E3" s="8" t="s">
        <v>21</v>
      </c>
      <c r="F3" s="9">
        <v>45266</v>
      </c>
      <c r="G3" s="9" t="s">
        <v>22</v>
      </c>
      <c r="H3" s="18">
        <v>0</v>
      </c>
      <c r="I3" s="11" t="s">
        <v>157</v>
      </c>
      <c r="J3" s="11" t="s">
        <v>158</v>
      </c>
      <c r="K3" s="11" t="s">
        <v>159</v>
      </c>
      <c r="L3" s="9">
        <v>46077</v>
      </c>
      <c r="M3" s="11" t="s">
        <v>161</v>
      </c>
      <c r="N3" s="11" t="s">
        <v>160</v>
      </c>
      <c r="O3" s="8" t="s">
        <v>188</v>
      </c>
      <c r="P3" s="21" t="s">
        <v>188</v>
      </c>
      <c r="Q3" s="8">
        <v>21.759</v>
      </c>
      <c r="R3" s="24" t="s">
        <v>11</v>
      </c>
      <c r="S3" s="24" t="s">
        <v>12</v>
      </c>
      <c r="T3" s="24">
        <v>2023</v>
      </c>
      <c r="U3" s="24" t="s">
        <v>18</v>
      </c>
      <c r="V3" s="9">
        <v>45940</v>
      </c>
    </row>
    <row r="4" spans="1:22" ht="23" x14ac:dyDescent="0.35">
      <c r="A4" s="4">
        <v>3</v>
      </c>
      <c r="B4" s="5" t="s">
        <v>23</v>
      </c>
      <c r="C4" s="7" t="s">
        <v>24</v>
      </c>
      <c r="D4" s="7" t="s">
        <v>16</v>
      </c>
      <c r="E4" s="8">
        <v>260.57600000000002</v>
      </c>
      <c r="F4" s="10">
        <v>45133</v>
      </c>
      <c r="G4" s="9">
        <v>45312</v>
      </c>
      <c r="H4" s="18">
        <v>0</v>
      </c>
      <c r="I4" s="11" t="s">
        <v>162</v>
      </c>
      <c r="J4" s="11"/>
      <c r="K4" s="11"/>
      <c r="L4" s="9"/>
      <c r="M4" s="19">
        <v>1</v>
      </c>
      <c r="N4" s="19">
        <v>1</v>
      </c>
      <c r="O4" s="18">
        <v>0</v>
      </c>
      <c r="P4" s="21">
        <v>0</v>
      </c>
      <c r="Q4" s="18">
        <v>146</v>
      </c>
      <c r="R4" s="24"/>
      <c r="S4" s="24"/>
      <c r="T4" s="24"/>
      <c r="U4" s="24"/>
      <c r="V4" s="9"/>
    </row>
    <row r="5" spans="1:22" x14ac:dyDescent="0.35">
      <c r="A5" s="4">
        <v>4</v>
      </c>
      <c r="B5" s="5" t="s">
        <v>26</v>
      </c>
      <c r="C5" s="7" t="s">
        <v>27</v>
      </c>
      <c r="D5" s="7" t="s">
        <v>28</v>
      </c>
      <c r="E5" s="8">
        <v>890.88300000000004</v>
      </c>
      <c r="F5" s="9">
        <v>45580</v>
      </c>
      <c r="G5" s="9">
        <v>46092</v>
      </c>
      <c r="H5" s="18">
        <v>-92</v>
      </c>
      <c r="I5" s="11" t="s">
        <v>163</v>
      </c>
      <c r="J5" s="11" t="s">
        <v>164</v>
      </c>
      <c r="K5" s="11" t="s">
        <v>159</v>
      </c>
      <c r="L5" s="9" t="s">
        <v>165</v>
      </c>
      <c r="M5" s="11" t="s">
        <v>160</v>
      </c>
      <c r="N5" s="11" t="s">
        <v>166</v>
      </c>
      <c r="O5" s="8">
        <v>0</v>
      </c>
      <c r="P5" s="21">
        <v>0</v>
      </c>
      <c r="Q5" s="8">
        <v>890.88300000000004</v>
      </c>
      <c r="R5" s="24" t="s">
        <v>11</v>
      </c>
      <c r="S5" s="24" t="s">
        <v>12</v>
      </c>
      <c r="T5" s="24">
        <v>2024</v>
      </c>
      <c r="U5" s="24" t="s">
        <v>25</v>
      </c>
      <c r="V5" s="9">
        <v>45818</v>
      </c>
    </row>
    <row r="6" spans="1:22" ht="23" x14ac:dyDescent="0.35">
      <c r="A6" s="4">
        <v>5</v>
      </c>
      <c r="B6" s="5" t="s">
        <v>30</v>
      </c>
      <c r="C6" s="7" t="s">
        <v>31</v>
      </c>
      <c r="D6" s="7" t="s">
        <v>32</v>
      </c>
      <c r="E6" s="8">
        <v>557.03099999999995</v>
      </c>
      <c r="F6" s="9">
        <v>45586</v>
      </c>
      <c r="G6" s="9">
        <v>45859</v>
      </c>
      <c r="H6" s="18">
        <v>0</v>
      </c>
      <c r="I6" s="11" t="s">
        <v>167</v>
      </c>
      <c r="J6" s="11" t="s">
        <v>164</v>
      </c>
      <c r="K6" s="11" t="s">
        <v>159</v>
      </c>
      <c r="L6" s="9" t="s">
        <v>168</v>
      </c>
      <c r="M6" s="11" t="s">
        <v>161</v>
      </c>
      <c r="N6" s="11" t="s">
        <v>160</v>
      </c>
      <c r="O6" s="8">
        <v>557.03099999999995</v>
      </c>
      <c r="P6" s="8">
        <v>557.03099999999995</v>
      </c>
      <c r="Q6" s="18">
        <v>0</v>
      </c>
      <c r="R6" s="24" t="s">
        <v>11</v>
      </c>
      <c r="S6" s="24" t="s">
        <v>12</v>
      </c>
      <c r="T6" s="24">
        <v>2024</v>
      </c>
      <c r="U6" s="24" t="s">
        <v>29</v>
      </c>
      <c r="V6" s="9">
        <v>45910</v>
      </c>
    </row>
    <row r="7" spans="1:22" ht="23" x14ac:dyDescent="0.35">
      <c r="A7" s="4">
        <v>6</v>
      </c>
      <c r="B7" s="5" t="s">
        <v>34</v>
      </c>
      <c r="C7" s="7" t="s">
        <v>35</v>
      </c>
      <c r="D7" s="7" t="s">
        <v>36</v>
      </c>
      <c r="E7" s="8">
        <v>296.61399999999998</v>
      </c>
      <c r="F7" s="9">
        <v>45828</v>
      </c>
      <c r="G7" s="9">
        <v>46140</v>
      </c>
      <c r="H7" s="18">
        <v>-44</v>
      </c>
      <c r="I7" s="11" t="s">
        <v>163</v>
      </c>
      <c r="J7" s="11" t="s">
        <v>164</v>
      </c>
      <c r="K7" s="11" t="s">
        <v>169</v>
      </c>
      <c r="L7" s="9"/>
      <c r="M7" s="11" t="s">
        <v>170</v>
      </c>
      <c r="N7" s="11" t="s">
        <v>170</v>
      </c>
      <c r="O7" s="8">
        <v>0</v>
      </c>
      <c r="P7" s="21">
        <v>0</v>
      </c>
      <c r="Q7" s="8">
        <v>296.61399999999998</v>
      </c>
      <c r="R7" s="24" t="s">
        <v>11</v>
      </c>
      <c r="S7" s="24" t="s">
        <v>12</v>
      </c>
      <c r="T7" s="24">
        <v>2024</v>
      </c>
      <c r="U7" s="24" t="s">
        <v>33</v>
      </c>
      <c r="V7" s="9"/>
    </row>
    <row r="8" spans="1:22" ht="23" x14ac:dyDescent="0.35">
      <c r="A8" s="4">
        <v>7</v>
      </c>
      <c r="B8" s="5" t="s">
        <v>38</v>
      </c>
      <c r="C8" s="7" t="s">
        <v>39</v>
      </c>
      <c r="D8" s="7" t="s">
        <v>32</v>
      </c>
      <c r="E8" s="8" t="s">
        <v>40</v>
      </c>
      <c r="F8" s="9">
        <v>45740</v>
      </c>
      <c r="G8" s="9">
        <v>46099</v>
      </c>
      <c r="H8" s="18">
        <v>0</v>
      </c>
      <c r="I8" s="11" t="s">
        <v>171</v>
      </c>
      <c r="J8" s="11" t="s">
        <v>158</v>
      </c>
      <c r="K8" s="11" t="s">
        <v>159</v>
      </c>
      <c r="L8" s="9">
        <v>46006</v>
      </c>
      <c r="M8" s="11" t="s">
        <v>161</v>
      </c>
      <c r="N8" s="11" t="s">
        <v>160</v>
      </c>
      <c r="O8" s="8" t="s">
        <v>189</v>
      </c>
      <c r="P8" s="21">
        <f>SUM(BK8,BM8,BO8,BQ8,BS8,BU8,BW8,BY8,CA8,CC8,CE8,CG8)</f>
        <v>0</v>
      </c>
      <c r="Q8" s="8" t="s">
        <v>189</v>
      </c>
      <c r="R8" s="24" t="s">
        <v>11</v>
      </c>
      <c r="S8" s="24" t="s">
        <v>12</v>
      </c>
      <c r="T8" s="24">
        <v>2024</v>
      </c>
      <c r="U8" s="24" t="s">
        <v>37</v>
      </c>
      <c r="V8" s="9">
        <v>45910</v>
      </c>
    </row>
    <row r="9" spans="1:22" ht="23" x14ac:dyDescent="0.35">
      <c r="A9" s="4">
        <v>8</v>
      </c>
      <c r="B9" s="5" t="s">
        <v>42</v>
      </c>
      <c r="C9" s="7" t="s">
        <v>43</v>
      </c>
      <c r="D9" s="7" t="s">
        <v>32</v>
      </c>
      <c r="E9" s="8">
        <v>275.27999999999997</v>
      </c>
      <c r="F9" s="11" t="s">
        <v>44</v>
      </c>
      <c r="G9" s="11" t="s">
        <v>45</v>
      </c>
      <c r="H9" s="18">
        <v>0</v>
      </c>
      <c r="I9" s="11" t="s">
        <v>172</v>
      </c>
      <c r="J9" s="11" t="s">
        <v>164</v>
      </c>
      <c r="K9" s="11" t="s">
        <v>169</v>
      </c>
      <c r="L9" s="9"/>
      <c r="M9" s="11" t="s">
        <v>160</v>
      </c>
      <c r="N9" s="11" t="s">
        <v>160</v>
      </c>
      <c r="O9" s="8">
        <v>275.27999999999997</v>
      </c>
      <c r="P9" s="21">
        <f>SUM(BK9,BM9,BO9,BQ9,BS9,BU9,BW9,BY9,CA9,CC9,CE9,CG9)</f>
        <v>0</v>
      </c>
      <c r="Q9" s="8" t="e">
        <f>#REF!-P9</f>
        <v>#REF!</v>
      </c>
      <c r="R9" s="24" t="s">
        <v>11</v>
      </c>
      <c r="S9" s="24" t="s">
        <v>12</v>
      </c>
      <c r="T9" s="24">
        <v>2024</v>
      </c>
      <c r="U9" s="24" t="s">
        <v>41</v>
      </c>
      <c r="V9" s="9">
        <v>45879</v>
      </c>
    </row>
    <row r="10" spans="1:22" ht="34.5" x14ac:dyDescent="0.35">
      <c r="A10" s="4">
        <v>9</v>
      </c>
      <c r="B10" s="5" t="s">
        <v>47</v>
      </c>
      <c r="C10" s="12" t="s">
        <v>48</v>
      </c>
      <c r="D10" s="12" t="s">
        <v>49</v>
      </c>
      <c r="E10" s="8" t="s">
        <v>50</v>
      </c>
      <c r="F10" s="11" t="s">
        <v>51</v>
      </c>
      <c r="G10" s="11" t="s">
        <v>52</v>
      </c>
      <c r="H10" s="18">
        <v>0</v>
      </c>
      <c r="I10" s="11" t="s">
        <v>171</v>
      </c>
      <c r="J10" s="11" t="s">
        <v>158</v>
      </c>
      <c r="K10" s="11" t="s">
        <v>159</v>
      </c>
      <c r="L10" s="9">
        <v>45922</v>
      </c>
      <c r="M10" s="11" t="s">
        <v>160</v>
      </c>
      <c r="N10" s="11" t="s">
        <v>160</v>
      </c>
      <c r="O10" s="8">
        <v>0</v>
      </c>
      <c r="P10" s="21">
        <v>0</v>
      </c>
      <c r="Q10" s="8">
        <v>183.15</v>
      </c>
      <c r="R10" s="24" t="s">
        <v>11</v>
      </c>
      <c r="S10" s="24" t="s">
        <v>12</v>
      </c>
      <c r="T10" s="24">
        <v>2024</v>
      </c>
      <c r="U10" s="24" t="s">
        <v>46</v>
      </c>
      <c r="V10" s="11" t="s">
        <v>173</v>
      </c>
    </row>
    <row r="11" spans="1:22" ht="23" x14ac:dyDescent="0.35">
      <c r="A11" s="4">
        <v>10</v>
      </c>
      <c r="B11" s="5" t="s">
        <v>53</v>
      </c>
      <c r="C11" s="7" t="s">
        <v>54</v>
      </c>
      <c r="D11" s="12" t="s">
        <v>16</v>
      </c>
      <c r="E11" s="8" t="s">
        <v>55</v>
      </c>
      <c r="F11" s="11" t="s">
        <v>51</v>
      </c>
      <c r="G11" s="11" t="s">
        <v>56</v>
      </c>
      <c r="H11" s="18">
        <v>-442</v>
      </c>
      <c r="I11" s="11" t="s">
        <v>163</v>
      </c>
      <c r="J11" s="11" t="s">
        <v>158</v>
      </c>
      <c r="K11" s="11" t="s">
        <v>159</v>
      </c>
      <c r="L11" s="9">
        <v>46011</v>
      </c>
      <c r="M11" s="11" t="s">
        <v>174</v>
      </c>
      <c r="N11" s="11" t="s">
        <v>175</v>
      </c>
      <c r="O11" s="8">
        <v>0</v>
      </c>
      <c r="P11" s="21">
        <f>SUM(BK11,BM11,BO11,BQ11,BS11,BU11,BW11,BY11,CA11,CC11,CE11,CG11)</f>
        <v>0</v>
      </c>
      <c r="Q11" s="8" t="s">
        <v>190</v>
      </c>
      <c r="R11" s="24" t="s">
        <v>11</v>
      </c>
      <c r="S11" s="24" t="s">
        <v>12</v>
      </c>
      <c r="T11" s="24">
        <v>2024</v>
      </c>
      <c r="U11" s="24" t="s">
        <v>46</v>
      </c>
      <c r="V11" s="9">
        <v>45940</v>
      </c>
    </row>
    <row r="12" spans="1:22" ht="23" x14ac:dyDescent="0.35">
      <c r="A12" s="4">
        <v>11</v>
      </c>
      <c r="B12" s="5" t="s">
        <v>58</v>
      </c>
      <c r="C12" s="7" t="s">
        <v>59</v>
      </c>
      <c r="D12" s="12" t="s">
        <v>32</v>
      </c>
      <c r="E12" s="8">
        <v>283.60500000000002</v>
      </c>
      <c r="F12" s="11" t="s">
        <v>60</v>
      </c>
      <c r="G12" s="9">
        <v>45854</v>
      </c>
      <c r="H12" s="18">
        <v>0</v>
      </c>
      <c r="I12" s="11" t="s">
        <v>172</v>
      </c>
      <c r="J12" s="11" t="s">
        <v>158</v>
      </c>
      <c r="K12" s="11" t="s">
        <v>169</v>
      </c>
      <c r="L12" s="9"/>
      <c r="M12" s="11" t="s">
        <v>160</v>
      </c>
      <c r="N12" s="11" t="s">
        <v>160</v>
      </c>
      <c r="O12" s="8">
        <v>283.60500000000002</v>
      </c>
      <c r="P12" s="21">
        <f>SUM(BK12,BM12,BO12,BQ12,BS12,BU12,BW12,BY12,CA12,CC12,CE12,CG12)</f>
        <v>0</v>
      </c>
      <c r="Q12" s="8" t="e">
        <f>#REF!-P12</f>
        <v>#REF!</v>
      </c>
      <c r="R12" s="24" t="s">
        <v>11</v>
      </c>
      <c r="S12" s="24" t="s">
        <v>12</v>
      </c>
      <c r="T12" s="24">
        <v>2024</v>
      </c>
      <c r="U12" s="24" t="s">
        <v>57</v>
      </c>
      <c r="V12" s="9">
        <v>45910</v>
      </c>
    </row>
    <row r="13" spans="1:22" x14ac:dyDescent="0.35">
      <c r="A13" s="4">
        <v>12</v>
      </c>
      <c r="B13" s="5" t="s">
        <v>62</v>
      </c>
      <c r="C13" s="7" t="s">
        <v>63</v>
      </c>
      <c r="D13" s="12" t="s">
        <v>32</v>
      </c>
      <c r="E13" s="8" t="s">
        <v>64</v>
      </c>
      <c r="F13" s="9">
        <v>45506</v>
      </c>
      <c r="G13" s="9">
        <v>45870</v>
      </c>
      <c r="H13" s="18">
        <v>0</v>
      </c>
      <c r="I13" s="11" t="s">
        <v>171</v>
      </c>
      <c r="J13" s="11" t="s">
        <v>164</v>
      </c>
      <c r="K13" s="11" t="s">
        <v>159</v>
      </c>
      <c r="L13" s="9">
        <v>46080</v>
      </c>
      <c r="M13" s="11" t="s">
        <v>161</v>
      </c>
      <c r="N13" s="11" t="s">
        <v>160</v>
      </c>
      <c r="O13" s="8" t="s">
        <v>64</v>
      </c>
      <c r="P13" s="21">
        <f>SUM(BK13,BM13,BO13,BQ13,BS13,BU13,BW13,BY13,CA13,CC13,CE13,CG13)</f>
        <v>0</v>
      </c>
      <c r="Q13" s="8" t="s">
        <v>64</v>
      </c>
      <c r="R13" s="24" t="s">
        <v>11</v>
      </c>
      <c r="S13" s="24" t="s">
        <v>12</v>
      </c>
      <c r="T13" s="24">
        <v>2024</v>
      </c>
      <c r="U13" s="24" t="s">
        <v>61</v>
      </c>
      <c r="V13" s="9">
        <v>45818</v>
      </c>
    </row>
    <row r="14" spans="1:22" ht="23" x14ac:dyDescent="0.35">
      <c r="A14" s="4">
        <v>13</v>
      </c>
      <c r="B14" s="5" t="s">
        <v>66</v>
      </c>
      <c r="C14" s="7" t="s">
        <v>67</v>
      </c>
      <c r="D14" s="7" t="s">
        <v>32</v>
      </c>
      <c r="E14" s="8" t="s">
        <v>68</v>
      </c>
      <c r="F14" s="11" t="s">
        <v>69</v>
      </c>
      <c r="G14" s="9">
        <v>45862</v>
      </c>
      <c r="H14" s="18">
        <v>-322</v>
      </c>
      <c r="I14" s="11" t="s">
        <v>163</v>
      </c>
      <c r="J14" s="11" t="s">
        <v>158</v>
      </c>
      <c r="K14" s="11" t="s">
        <v>159</v>
      </c>
      <c r="L14" s="11" t="s">
        <v>176</v>
      </c>
      <c r="M14" s="11" t="s">
        <v>177</v>
      </c>
      <c r="N14" s="19">
        <v>0.65</v>
      </c>
      <c r="O14" s="8">
        <v>0</v>
      </c>
      <c r="P14" s="21">
        <v>0</v>
      </c>
      <c r="Q14" s="8" t="s">
        <v>191</v>
      </c>
      <c r="R14" s="24" t="s">
        <v>11</v>
      </c>
      <c r="S14" s="24" t="s">
        <v>12</v>
      </c>
      <c r="T14" s="24">
        <v>2024</v>
      </c>
      <c r="U14" s="24" t="s">
        <v>65</v>
      </c>
      <c r="V14" s="9">
        <v>45910</v>
      </c>
    </row>
    <row r="15" spans="1:22" ht="23" x14ac:dyDescent="0.35">
      <c r="A15" s="4">
        <v>14</v>
      </c>
      <c r="B15" s="5" t="s">
        <v>71</v>
      </c>
      <c r="C15" s="7" t="s">
        <v>72</v>
      </c>
      <c r="D15" s="12" t="s">
        <v>73</v>
      </c>
      <c r="E15" s="8">
        <v>220.91200000000001</v>
      </c>
      <c r="F15" s="11" t="s">
        <v>74</v>
      </c>
      <c r="G15" s="9">
        <v>46104</v>
      </c>
      <c r="H15" s="18">
        <v>0</v>
      </c>
      <c r="I15" s="11" t="s">
        <v>171</v>
      </c>
      <c r="J15" s="11" t="s">
        <v>164</v>
      </c>
      <c r="K15" s="11" t="s">
        <v>178</v>
      </c>
      <c r="L15" s="9"/>
      <c r="M15" s="11" t="s">
        <v>161</v>
      </c>
      <c r="N15" s="11" t="s">
        <v>160</v>
      </c>
      <c r="O15" s="8">
        <v>220.91200000000001</v>
      </c>
      <c r="P15" s="21">
        <v>0</v>
      </c>
      <c r="Q15" s="8">
        <v>220.91200000000001</v>
      </c>
      <c r="R15" s="24" t="s">
        <v>11</v>
      </c>
      <c r="S15" s="24" t="s">
        <v>12</v>
      </c>
      <c r="T15" s="24">
        <v>2025</v>
      </c>
      <c r="U15" s="24" t="s">
        <v>70</v>
      </c>
      <c r="V15" s="9"/>
    </row>
    <row r="16" spans="1:22" ht="23" x14ac:dyDescent="0.35">
      <c r="A16" s="4">
        <v>15</v>
      </c>
      <c r="B16" s="5" t="s">
        <v>75</v>
      </c>
      <c r="C16" s="7" t="s">
        <v>76</v>
      </c>
      <c r="D16" s="12" t="s">
        <v>77</v>
      </c>
      <c r="E16" s="8">
        <v>102.964</v>
      </c>
      <c r="F16" s="9">
        <v>45827</v>
      </c>
      <c r="G16" s="9">
        <v>46103</v>
      </c>
      <c r="H16" s="18">
        <v>0</v>
      </c>
      <c r="I16" s="11" t="s">
        <v>171</v>
      </c>
      <c r="J16" s="11" t="s">
        <v>164</v>
      </c>
      <c r="K16" s="11" t="s">
        <v>178</v>
      </c>
      <c r="L16" s="9"/>
      <c r="M16" s="11" t="s">
        <v>161</v>
      </c>
      <c r="N16" s="11" t="s">
        <v>160</v>
      </c>
      <c r="O16" s="8">
        <v>102.964</v>
      </c>
      <c r="P16" s="18">
        <v>0</v>
      </c>
      <c r="Q16" s="8">
        <v>102.964</v>
      </c>
      <c r="R16" s="24" t="s">
        <v>11</v>
      </c>
      <c r="S16" s="24" t="s">
        <v>12</v>
      </c>
      <c r="T16" s="24">
        <v>2025</v>
      </c>
      <c r="U16" s="24" t="s">
        <v>70</v>
      </c>
      <c r="V16" s="9"/>
    </row>
    <row r="17" spans="1:22" ht="23" x14ac:dyDescent="0.35">
      <c r="A17" s="4">
        <v>16</v>
      </c>
      <c r="B17" s="5" t="s">
        <v>79</v>
      </c>
      <c r="C17" s="7" t="s">
        <v>80</v>
      </c>
      <c r="D17" s="12" t="s">
        <v>36</v>
      </c>
      <c r="E17" s="8">
        <v>162.06899999999999</v>
      </c>
      <c r="F17" s="9">
        <v>45827</v>
      </c>
      <c r="G17" s="9">
        <v>46089</v>
      </c>
      <c r="H17" s="18">
        <v>0</v>
      </c>
      <c r="I17" s="11" t="s">
        <v>179</v>
      </c>
      <c r="J17" s="11" t="s">
        <v>164</v>
      </c>
      <c r="K17" s="11" t="s">
        <v>178</v>
      </c>
      <c r="L17" s="9"/>
      <c r="M17" s="11" t="s">
        <v>161</v>
      </c>
      <c r="N17" s="19">
        <v>1</v>
      </c>
      <c r="O17" s="8">
        <v>162.06899999999999</v>
      </c>
      <c r="P17" s="21">
        <v>0</v>
      </c>
      <c r="Q17" s="8">
        <v>162.06899999999999</v>
      </c>
      <c r="R17" s="24" t="s">
        <v>11</v>
      </c>
      <c r="S17" s="24" t="s">
        <v>12</v>
      </c>
      <c r="T17" s="24">
        <v>2025</v>
      </c>
      <c r="U17" s="24" t="s">
        <v>78</v>
      </c>
      <c r="V17" s="9"/>
    </row>
    <row r="18" spans="1:22" ht="23" x14ac:dyDescent="0.35">
      <c r="A18" s="4">
        <v>17</v>
      </c>
      <c r="B18" s="5" t="s">
        <v>82</v>
      </c>
      <c r="C18" s="7" t="s">
        <v>83</v>
      </c>
      <c r="D18" s="12" t="s">
        <v>84</v>
      </c>
      <c r="E18" s="8">
        <v>181.441</v>
      </c>
      <c r="F18" s="11" t="s">
        <v>85</v>
      </c>
      <c r="G18" s="11" t="s">
        <v>86</v>
      </c>
      <c r="H18" s="18">
        <v>0</v>
      </c>
      <c r="I18" s="11" t="s">
        <v>163</v>
      </c>
      <c r="J18" s="11" t="s">
        <v>164</v>
      </c>
      <c r="K18" s="11" t="s">
        <v>178</v>
      </c>
      <c r="L18" s="9"/>
      <c r="M18" s="19">
        <v>0</v>
      </c>
      <c r="N18" s="19">
        <v>0</v>
      </c>
      <c r="O18" s="18">
        <v>0</v>
      </c>
      <c r="P18" s="21">
        <v>0</v>
      </c>
      <c r="Q18" s="8">
        <v>181.441</v>
      </c>
      <c r="R18" s="24" t="s">
        <v>11</v>
      </c>
      <c r="S18" s="24" t="s">
        <v>12</v>
      </c>
      <c r="T18" s="24">
        <v>2025</v>
      </c>
      <c r="U18" s="24" t="s">
        <v>81</v>
      </c>
      <c r="V18" s="9"/>
    </row>
    <row r="19" spans="1:22" ht="23" x14ac:dyDescent="0.35">
      <c r="A19" s="4">
        <v>18</v>
      </c>
      <c r="B19" s="5" t="s">
        <v>88</v>
      </c>
      <c r="C19" s="7" t="s">
        <v>89</v>
      </c>
      <c r="D19" s="12" t="s">
        <v>90</v>
      </c>
      <c r="E19" s="8">
        <v>288.60000000000002</v>
      </c>
      <c r="F19" s="11" t="s">
        <v>91</v>
      </c>
      <c r="G19" s="11" t="s">
        <v>92</v>
      </c>
      <c r="H19" s="18">
        <v>0</v>
      </c>
      <c r="I19" s="11" t="s">
        <v>171</v>
      </c>
      <c r="J19" s="11"/>
      <c r="K19" s="11" t="s">
        <v>178</v>
      </c>
      <c r="L19" s="9"/>
      <c r="M19" s="19">
        <v>0</v>
      </c>
      <c r="N19" s="19">
        <v>1</v>
      </c>
      <c r="O19" s="8">
        <v>288.60000000000002</v>
      </c>
      <c r="P19" s="21">
        <v>0</v>
      </c>
      <c r="Q19" s="8">
        <v>288.60000000000002</v>
      </c>
      <c r="R19" s="24" t="s">
        <v>11</v>
      </c>
      <c r="S19" s="24" t="s">
        <v>12</v>
      </c>
      <c r="T19" s="24">
        <v>2025</v>
      </c>
      <c r="U19" s="24" t="s">
        <v>87</v>
      </c>
      <c r="V19" s="9"/>
    </row>
    <row r="20" spans="1:22" ht="23" x14ac:dyDescent="0.35">
      <c r="A20" s="4">
        <v>19</v>
      </c>
      <c r="B20" s="5" t="s">
        <v>93</v>
      </c>
      <c r="C20" s="7" t="s">
        <v>94</v>
      </c>
      <c r="D20" s="12" t="s">
        <v>73</v>
      </c>
      <c r="E20" s="8">
        <v>202.02</v>
      </c>
      <c r="F20" s="11" t="s">
        <v>95</v>
      </c>
      <c r="G20" s="9">
        <v>46115</v>
      </c>
      <c r="H20" s="18">
        <v>0</v>
      </c>
      <c r="I20" s="11" t="s">
        <v>171</v>
      </c>
      <c r="J20" s="11" t="s">
        <v>164</v>
      </c>
      <c r="K20" s="11" t="s">
        <v>178</v>
      </c>
      <c r="L20" s="9"/>
      <c r="M20" s="19">
        <v>0</v>
      </c>
      <c r="N20" s="19">
        <v>1</v>
      </c>
      <c r="O20" s="8">
        <v>202.02</v>
      </c>
      <c r="P20" s="21">
        <v>0</v>
      </c>
      <c r="Q20" s="8">
        <v>202.02</v>
      </c>
      <c r="R20" s="24" t="s">
        <v>11</v>
      </c>
      <c r="S20" s="24" t="s">
        <v>12</v>
      </c>
      <c r="T20" s="24">
        <v>2025</v>
      </c>
      <c r="U20" s="24" t="s">
        <v>78</v>
      </c>
      <c r="V20" s="9"/>
    </row>
    <row r="21" spans="1:22" ht="23" x14ac:dyDescent="0.35">
      <c r="A21" s="4">
        <v>20</v>
      </c>
      <c r="B21" s="5" t="s">
        <v>97</v>
      </c>
      <c r="C21" s="7" t="s">
        <v>98</v>
      </c>
      <c r="D21" s="12" t="s">
        <v>99</v>
      </c>
      <c r="E21" s="8" t="s">
        <v>100</v>
      </c>
      <c r="F21" s="11" t="s">
        <v>101</v>
      </c>
      <c r="G21" s="11" t="s">
        <v>102</v>
      </c>
      <c r="H21" s="18">
        <v>62</v>
      </c>
      <c r="I21" s="11" t="s">
        <v>163</v>
      </c>
      <c r="J21" s="11" t="s">
        <v>164</v>
      </c>
      <c r="K21" s="11" t="s">
        <v>159</v>
      </c>
      <c r="L21" s="9"/>
      <c r="M21" s="11" t="s">
        <v>180</v>
      </c>
      <c r="N21" s="11" t="s">
        <v>181</v>
      </c>
      <c r="O21" s="18">
        <v>0</v>
      </c>
      <c r="P21" s="21">
        <v>0</v>
      </c>
      <c r="Q21" s="21" t="s">
        <v>100</v>
      </c>
      <c r="R21" s="24" t="s">
        <v>11</v>
      </c>
      <c r="S21" s="24" t="s">
        <v>12</v>
      </c>
      <c r="T21" s="24">
        <v>2025</v>
      </c>
      <c r="U21" s="24" t="s">
        <v>96</v>
      </c>
      <c r="V21" s="9"/>
    </row>
    <row r="22" spans="1:22" ht="23" x14ac:dyDescent="0.35">
      <c r="A22" s="4">
        <v>21</v>
      </c>
      <c r="B22" s="5" t="s">
        <v>104</v>
      </c>
      <c r="C22" s="7" t="s">
        <v>105</v>
      </c>
      <c r="D22" s="12" t="s">
        <v>77</v>
      </c>
      <c r="E22" s="8">
        <v>626.79899999999998</v>
      </c>
      <c r="F22" s="9">
        <v>46027</v>
      </c>
      <c r="G22" s="9">
        <v>46206</v>
      </c>
      <c r="H22" s="18">
        <v>23</v>
      </c>
      <c r="I22" s="11" t="s">
        <v>163</v>
      </c>
      <c r="J22" s="11" t="s">
        <v>164</v>
      </c>
      <c r="K22" s="11"/>
      <c r="L22" s="9"/>
      <c r="M22" s="19">
        <v>0.95</v>
      </c>
      <c r="N22" s="19">
        <v>1</v>
      </c>
      <c r="O22" s="8">
        <v>626.79899999999998</v>
      </c>
      <c r="P22" s="21">
        <v>0</v>
      </c>
      <c r="Q22" s="8">
        <v>626.79899999999998</v>
      </c>
      <c r="R22" s="24" t="s">
        <v>11</v>
      </c>
      <c r="S22" s="24" t="s">
        <v>12</v>
      </c>
      <c r="T22" s="24">
        <v>2025</v>
      </c>
      <c r="U22" s="24" t="s">
        <v>103</v>
      </c>
      <c r="V22" s="9"/>
    </row>
    <row r="23" spans="1:22" ht="34.5" x14ac:dyDescent="0.35">
      <c r="A23" s="4">
        <v>22</v>
      </c>
      <c r="B23" s="5" t="s">
        <v>106</v>
      </c>
      <c r="C23" s="7" t="s">
        <v>107</v>
      </c>
      <c r="D23" s="12" t="s">
        <v>108</v>
      </c>
      <c r="E23" s="8">
        <v>717.88400000000001</v>
      </c>
      <c r="F23" s="9">
        <v>45741</v>
      </c>
      <c r="G23" s="9">
        <v>46080</v>
      </c>
      <c r="H23" s="18">
        <v>0</v>
      </c>
      <c r="I23" s="11" t="s">
        <v>171</v>
      </c>
      <c r="J23" s="11"/>
      <c r="K23" s="11" t="s">
        <v>159</v>
      </c>
      <c r="L23" s="9">
        <v>46080</v>
      </c>
      <c r="M23" s="11" t="s">
        <v>161</v>
      </c>
      <c r="N23" s="11" t="s">
        <v>160</v>
      </c>
      <c r="O23" s="8">
        <v>281.95600000000002</v>
      </c>
      <c r="P23" s="21">
        <v>0</v>
      </c>
      <c r="Q23" s="8">
        <v>281.95600000000002</v>
      </c>
      <c r="R23" s="24"/>
      <c r="S23" s="24"/>
      <c r="T23" s="24"/>
      <c r="U23" s="24"/>
      <c r="V23" s="9">
        <v>45950</v>
      </c>
    </row>
    <row r="24" spans="1:22" ht="34.5" x14ac:dyDescent="0.35">
      <c r="A24" s="4">
        <v>23</v>
      </c>
      <c r="B24" s="13" t="s">
        <v>109</v>
      </c>
      <c r="C24" s="7" t="s">
        <v>110</v>
      </c>
      <c r="D24" s="12" t="s">
        <v>49</v>
      </c>
      <c r="E24" s="8" t="s">
        <v>111</v>
      </c>
      <c r="F24" s="11" t="s">
        <v>112</v>
      </c>
      <c r="G24" s="9">
        <v>46109</v>
      </c>
      <c r="H24" s="18">
        <v>-75</v>
      </c>
      <c r="I24" s="11" t="s">
        <v>163</v>
      </c>
      <c r="J24" s="11" t="s">
        <v>164</v>
      </c>
      <c r="K24" s="11" t="s">
        <v>159</v>
      </c>
      <c r="L24" s="9">
        <v>46179</v>
      </c>
      <c r="M24" s="11" t="s">
        <v>161</v>
      </c>
      <c r="N24" s="11" t="s">
        <v>182</v>
      </c>
      <c r="O24" s="8" t="s">
        <v>111</v>
      </c>
      <c r="P24" s="21">
        <v>0</v>
      </c>
      <c r="Q24" s="8" t="s">
        <v>111</v>
      </c>
      <c r="R24" s="24"/>
      <c r="S24" s="24"/>
      <c r="T24" s="24"/>
      <c r="U24" s="24"/>
      <c r="V24" s="9">
        <v>46064</v>
      </c>
    </row>
    <row r="25" spans="1:22" ht="23" x14ac:dyDescent="0.35">
      <c r="A25" s="4">
        <v>24</v>
      </c>
      <c r="B25" s="5" t="s">
        <v>113</v>
      </c>
      <c r="C25" s="7" t="s">
        <v>114</v>
      </c>
      <c r="D25" s="12" t="s">
        <v>16</v>
      </c>
      <c r="E25" s="8" t="s">
        <v>115</v>
      </c>
      <c r="F25" s="9">
        <v>45820</v>
      </c>
      <c r="G25" s="9">
        <v>46059</v>
      </c>
      <c r="H25" s="18">
        <v>-125</v>
      </c>
      <c r="I25" s="11" t="s">
        <v>163</v>
      </c>
      <c r="J25" s="11" t="s">
        <v>164</v>
      </c>
      <c r="K25" s="11" t="s">
        <v>159</v>
      </c>
      <c r="L25" s="9">
        <v>46059</v>
      </c>
      <c r="M25" s="11" t="s">
        <v>161</v>
      </c>
      <c r="N25" s="19">
        <v>0</v>
      </c>
      <c r="O25" s="18">
        <v>0</v>
      </c>
      <c r="P25" s="21">
        <v>0</v>
      </c>
      <c r="Q25" s="8" t="s">
        <v>115</v>
      </c>
      <c r="R25" s="24"/>
      <c r="S25" s="24"/>
      <c r="T25" s="24"/>
      <c r="U25" s="24"/>
      <c r="V25" s="9">
        <v>46059</v>
      </c>
    </row>
    <row r="26" spans="1:22" ht="23" x14ac:dyDescent="0.35">
      <c r="A26" s="4">
        <v>25</v>
      </c>
      <c r="B26" s="5" t="s">
        <v>116</v>
      </c>
      <c r="C26" s="12" t="s">
        <v>117</v>
      </c>
      <c r="D26" s="12" t="s">
        <v>32</v>
      </c>
      <c r="E26" s="8" t="s">
        <v>118</v>
      </c>
      <c r="F26" s="11" t="s">
        <v>119</v>
      </c>
      <c r="G26" s="9">
        <v>46102</v>
      </c>
      <c r="H26" s="18">
        <v>-82</v>
      </c>
      <c r="I26" s="11" t="s">
        <v>163</v>
      </c>
      <c r="J26" s="11" t="s">
        <v>164</v>
      </c>
      <c r="K26" s="11" t="s">
        <v>159</v>
      </c>
      <c r="L26" s="9">
        <v>46057</v>
      </c>
      <c r="M26" s="19">
        <v>0.5</v>
      </c>
      <c r="N26" s="19">
        <v>0.5</v>
      </c>
      <c r="O26" s="18">
        <v>0</v>
      </c>
      <c r="P26" s="21">
        <v>0</v>
      </c>
      <c r="Q26" s="21" t="s">
        <v>118</v>
      </c>
      <c r="R26" s="24"/>
      <c r="S26" s="24"/>
      <c r="T26" s="24"/>
      <c r="U26" s="24"/>
      <c r="V26" s="9">
        <v>46057</v>
      </c>
    </row>
    <row r="27" spans="1:22" ht="23" x14ac:dyDescent="0.35">
      <c r="A27" s="4">
        <v>26</v>
      </c>
      <c r="B27" s="5" t="s">
        <v>120</v>
      </c>
      <c r="C27" s="12" t="s">
        <v>121</v>
      </c>
      <c r="D27" s="12" t="s">
        <v>32</v>
      </c>
      <c r="E27" s="8" t="s">
        <v>122</v>
      </c>
      <c r="F27" s="11" t="s">
        <v>123</v>
      </c>
      <c r="G27" s="9">
        <v>46102</v>
      </c>
      <c r="H27" s="18">
        <v>-82</v>
      </c>
      <c r="I27" s="11" t="s">
        <v>163</v>
      </c>
      <c r="J27" s="11" t="s">
        <v>164</v>
      </c>
      <c r="K27" s="11" t="s">
        <v>159</v>
      </c>
      <c r="L27" s="9">
        <v>46057</v>
      </c>
      <c r="M27" s="19">
        <v>0.42</v>
      </c>
      <c r="N27" s="19">
        <v>0.42</v>
      </c>
      <c r="O27" s="18">
        <v>0</v>
      </c>
      <c r="P27" s="21">
        <v>0</v>
      </c>
      <c r="Q27" s="8" t="s">
        <v>122</v>
      </c>
      <c r="R27" s="24"/>
      <c r="S27" s="24"/>
      <c r="T27" s="24"/>
      <c r="U27" s="24"/>
      <c r="V27" s="9">
        <v>46057</v>
      </c>
    </row>
    <row r="28" spans="1:22" ht="34.5" x14ac:dyDescent="0.35">
      <c r="A28" s="4">
        <v>27</v>
      </c>
      <c r="B28" s="5" t="s">
        <v>124</v>
      </c>
      <c r="C28" s="12" t="s">
        <v>125</v>
      </c>
      <c r="D28" s="12" t="s">
        <v>126</v>
      </c>
      <c r="E28" s="8" t="s">
        <v>127</v>
      </c>
      <c r="F28" s="11" t="s">
        <v>128</v>
      </c>
      <c r="G28" s="9">
        <v>46093</v>
      </c>
      <c r="H28" s="18">
        <v>-91</v>
      </c>
      <c r="I28" s="11" t="s">
        <v>163</v>
      </c>
      <c r="J28" s="11" t="s">
        <v>164</v>
      </c>
      <c r="K28" s="11" t="s">
        <v>159</v>
      </c>
      <c r="L28" s="9">
        <v>46274</v>
      </c>
      <c r="M28" s="19">
        <v>0.5</v>
      </c>
      <c r="N28" s="19">
        <v>0.5</v>
      </c>
      <c r="O28" s="21" t="s">
        <v>127</v>
      </c>
      <c r="P28" s="21">
        <v>0</v>
      </c>
      <c r="Q28" s="21" t="s">
        <v>127</v>
      </c>
      <c r="R28" s="24"/>
      <c r="S28" s="24"/>
      <c r="T28" s="24"/>
      <c r="U28" s="24"/>
      <c r="V28" s="9">
        <v>46093</v>
      </c>
    </row>
    <row r="29" spans="1:22" ht="23" x14ac:dyDescent="0.35">
      <c r="A29" s="4">
        <v>28</v>
      </c>
      <c r="B29" s="5" t="s">
        <v>129</v>
      </c>
      <c r="C29" s="12" t="s">
        <v>130</v>
      </c>
      <c r="D29" s="12" t="s">
        <v>131</v>
      </c>
      <c r="E29" s="8" t="s">
        <v>127</v>
      </c>
      <c r="F29" s="11" t="s">
        <v>132</v>
      </c>
      <c r="G29" s="9">
        <v>46090</v>
      </c>
      <c r="H29" s="18">
        <v>-94</v>
      </c>
      <c r="I29" s="11" t="s">
        <v>183</v>
      </c>
      <c r="J29" s="11" t="s">
        <v>164</v>
      </c>
      <c r="K29" s="11" t="s">
        <v>159</v>
      </c>
      <c r="L29" s="9">
        <v>46270</v>
      </c>
      <c r="M29" s="19">
        <v>0.5</v>
      </c>
      <c r="N29" s="19">
        <v>0.5</v>
      </c>
      <c r="O29" s="21" t="s">
        <v>127</v>
      </c>
      <c r="P29" s="21">
        <v>0</v>
      </c>
      <c r="Q29" s="21" t="s">
        <v>127</v>
      </c>
      <c r="R29" s="24"/>
      <c r="S29" s="24"/>
      <c r="T29" s="24"/>
      <c r="U29" s="24"/>
      <c r="V29" s="9">
        <v>46090</v>
      </c>
    </row>
    <row r="30" spans="1:22" ht="23" x14ac:dyDescent="0.35">
      <c r="A30" s="4">
        <v>29</v>
      </c>
      <c r="B30" s="5" t="s">
        <v>133</v>
      </c>
      <c r="C30" s="7" t="s">
        <v>134</v>
      </c>
      <c r="D30" s="12" t="s">
        <v>77</v>
      </c>
      <c r="E30" s="8">
        <v>850.34199999999998</v>
      </c>
      <c r="F30" s="11" t="s">
        <v>135</v>
      </c>
      <c r="G30" s="11" t="s">
        <v>136</v>
      </c>
      <c r="H30" s="18">
        <v>0</v>
      </c>
      <c r="I30" s="11" t="s">
        <v>163</v>
      </c>
      <c r="J30" s="11" t="s">
        <v>164</v>
      </c>
      <c r="K30" s="11" t="s">
        <v>159</v>
      </c>
      <c r="L30" s="9">
        <v>46203</v>
      </c>
      <c r="M30" s="19">
        <v>0</v>
      </c>
      <c r="N30" s="19">
        <v>0.1</v>
      </c>
      <c r="O30" s="18">
        <v>0</v>
      </c>
      <c r="P30" s="21">
        <v>0</v>
      </c>
      <c r="Q30" s="8">
        <v>850.34199999999998</v>
      </c>
      <c r="R30" s="24"/>
      <c r="S30" s="24"/>
      <c r="T30" s="24"/>
      <c r="U30" s="24"/>
      <c r="V30" s="9"/>
    </row>
    <row r="31" spans="1:22" ht="23" x14ac:dyDescent="0.35">
      <c r="A31" s="4">
        <v>30</v>
      </c>
      <c r="B31" s="5" t="s">
        <v>137</v>
      </c>
      <c r="C31" s="7" t="s">
        <v>138</v>
      </c>
      <c r="D31" s="12" t="s">
        <v>77</v>
      </c>
      <c r="E31" s="8">
        <v>739.09100000000001</v>
      </c>
      <c r="F31" s="11" t="s">
        <v>135</v>
      </c>
      <c r="G31" s="9">
        <v>46225</v>
      </c>
      <c r="H31" s="18">
        <v>41</v>
      </c>
      <c r="I31" s="11" t="s">
        <v>163</v>
      </c>
      <c r="J31" s="11" t="s">
        <v>164</v>
      </c>
      <c r="K31" s="11" t="s">
        <v>159</v>
      </c>
      <c r="L31" s="9">
        <v>46203</v>
      </c>
      <c r="M31" s="19">
        <v>0.65</v>
      </c>
      <c r="N31" s="19">
        <v>0.6</v>
      </c>
      <c r="O31" s="18">
        <v>0</v>
      </c>
      <c r="P31" s="21">
        <v>0</v>
      </c>
      <c r="Q31" s="8">
        <v>739.09100000000001</v>
      </c>
      <c r="R31" s="24"/>
      <c r="S31" s="24"/>
      <c r="T31" s="24"/>
      <c r="U31" s="24"/>
      <c r="V31" s="9"/>
    </row>
    <row r="32" spans="1:22" ht="34.5" x14ac:dyDescent="0.35">
      <c r="A32" s="4">
        <v>31</v>
      </c>
      <c r="B32" s="5" t="s">
        <v>139</v>
      </c>
      <c r="C32" s="7" t="s">
        <v>140</v>
      </c>
      <c r="D32" s="12" t="s">
        <v>49</v>
      </c>
      <c r="E32" s="8" t="s">
        <v>141</v>
      </c>
      <c r="F32" s="9">
        <v>46142</v>
      </c>
      <c r="G32" s="11" t="s">
        <v>142</v>
      </c>
      <c r="H32" s="18">
        <v>0</v>
      </c>
      <c r="I32" s="11" t="s">
        <v>184</v>
      </c>
      <c r="J32" s="11" t="s">
        <v>164</v>
      </c>
      <c r="K32" s="11"/>
      <c r="L32" s="11"/>
      <c r="M32" s="19">
        <v>0</v>
      </c>
      <c r="N32" s="19">
        <v>0</v>
      </c>
      <c r="O32" s="18">
        <v>0</v>
      </c>
      <c r="P32" s="21">
        <v>0</v>
      </c>
      <c r="Q32" s="18">
        <v>0</v>
      </c>
      <c r="R32" s="24"/>
      <c r="S32" s="24"/>
      <c r="T32" s="24"/>
      <c r="U32" s="24"/>
      <c r="V32" s="9"/>
    </row>
    <row r="33" spans="1:22" ht="23" x14ac:dyDescent="0.35">
      <c r="A33" s="4">
        <v>32</v>
      </c>
      <c r="B33" s="5" t="s">
        <v>143</v>
      </c>
      <c r="C33" s="7" t="s">
        <v>144</v>
      </c>
      <c r="D33" s="12" t="s">
        <v>145</v>
      </c>
      <c r="E33" s="8" t="s">
        <v>146</v>
      </c>
      <c r="F33" s="11" t="s">
        <v>147</v>
      </c>
      <c r="G33" s="14" t="s">
        <v>148</v>
      </c>
      <c r="H33" s="18">
        <v>0</v>
      </c>
      <c r="I33" s="11" t="s">
        <v>184</v>
      </c>
      <c r="J33" s="11" t="s">
        <v>164</v>
      </c>
      <c r="K33" s="11"/>
      <c r="L33" s="9"/>
      <c r="M33" s="19">
        <v>0</v>
      </c>
      <c r="N33" s="19">
        <v>0</v>
      </c>
      <c r="O33" s="18">
        <v>0</v>
      </c>
      <c r="P33" s="21">
        <v>0</v>
      </c>
      <c r="Q33" s="18">
        <v>0</v>
      </c>
      <c r="R33" s="24"/>
      <c r="S33" s="24"/>
      <c r="T33" s="24"/>
      <c r="U33" s="24"/>
      <c r="V33" s="9"/>
    </row>
    <row r="34" spans="1:22" x14ac:dyDescent="0.35">
      <c r="I34" s="25"/>
      <c r="J34" s="25"/>
      <c r="K34" s="25"/>
      <c r="L34" s="25"/>
      <c r="R34"/>
      <c r="S34"/>
      <c r="T34"/>
      <c r="U34"/>
    </row>
    <row r="35" spans="1:22" x14ac:dyDescent="0.35">
      <c r="I35" s="25"/>
      <c r="J35" s="25"/>
      <c r="K35" s="25"/>
      <c r="L35" s="25"/>
      <c r="R35"/>
      <c r="S35"/>
      <c r="T35"/>
      <c r="U35"/>
    </row>
    <row r="36" spans="1:22" x14ac:dyDescent="0.35">
      <c r="I36" s="25"/>
      <c r="J36" s="25"/>
      <c r="K36" s="25"/>
      <c r="L36" s="25"/>
      <c r="R36"/>
      <c r="S36"/>
      <c r="T36"/>
      <c r="U36"/>
    </row>
    <row r="37" spans="1:22" x14ac:dyDescent="0.35">
      <c r="I37" s="25"/>
      <c r="J37" s="25"/>
      <c r="K37" s="25"/>
      <c r="L37" s="25"/>
      <c r="R37"/>
      <c r="S37"/>
      <c r="T37"/>
      <c r="U37"/>
    </row>
    <row r="43" spans="1:22" x14ac:dyDescent="0.35">
      <c r="O43" s="25"/>
      <c r="P43" s="25"/>
      <c r="Q43" s="25"/>
      <c r="R43"/>
      <c r="S43"/>
      <c r="T43"/>
      <c r="U43"/>
      <c r="V43" s="25"/>
    </row>
    <row r="44" spans="1:22" x14ac:dyDescent="0.35">
      <c r="O44" s="25"/>
      <c r="P44" s="25"/>
      <c r="Q44" s="25"/>
      <c r="R44"/>
      <c r="S44"/>
      <c r="T44"/>
      <c r="U44"/>
      <c r="V44" s="25"/>
    </row>
    <row r="45" spans="1:22" x14ac:dyDescent="0.35">
      <c r="O45" s="25"/>
      <c r="P45" s="25"/>
      <c r="Q45" s="25"/>
      <c r="R45"/>
      <c r="S45"/>
      <c r="T45"/>
      <c r="U45"/>
      <c r="V45" s="25"/>
    </row>
    <row r="46" spans="1:22" x14ac:dyDescent="0.35">
      <c r="O46" s="25"/>
      <c r="P46" s="25"/>
      <c r="Q46" s="25"/>
      <c r="R46"/>
      <c r="S46"/>
      <c r="T46"/>
      <c r="U46"/>
      <c r="V46" s="25"/>
    </row>
    <row r="47" spans="1:22" x14ac:dyDescent="0.35">
      <c r="O47" s="25"/>
      <c r="P47" s="25"/>
      <c r="Q47" s="25"/>
      <c r="R47"/>
      <c r="S47"/>
      <c r="T47"/>
      <c r="U47"/>
      <c r="V47" s="25"/>
    </row>
    <row r="48" spans="1:22" x14ac:dyDescent="0.35">
      <c r="O48" s="25"/>
      <c r="P48" s="25"/>
      <c r="Q48" s="25"/>
      <c r="R48"/>
      <c r="S48"/>
      <c r="T48"/>
      <c r="U48"/>
      <c r="V48" s="25"/>
    </row>
    <row r="49" spans="15:22" x14ac:dyDescent="0.35">
      <c r="O49" s="25"/>
      <c r="P49" s="25"/>
      <c r="Q49" s="25"/>
      <c r="R49"/>
      <c r="S49"/>
      <c r="T49"/>
      <c r="U49"/>
      <c r="V49" s="25"/>
    </row>
    <row r="50" spans="15:22" x14ac:dyDescent="0.35">
      <c r="O50" s="25"/>
      <c r="P50" s="25"/>
      <c r="Q50" s="25"/>
      <c r="R50"/>
      <c r="S50"/>
      <c r="T50"/>
      <c r="U50"/>
      <c r="V50" s="25"/>
    </row>
    <row r="51" spans="15:22" x14ac:dyDescent="0.35">
      <c r="O51" s="25"/>
      <c r="P51" s="25"/>
      <c r="Q51" s="25"/>
      <c r="R51"/>
      <c r="S51"/>
      <c r="T51"/>
      <c r="U51"/>
      <c r="V51" s="25"/>
    </row>
    <row r="52" spans="15:22" x14ac:dyDescent="0.35">
      <c r="O52" s="25"/>
      <c r="P52" s="25"/>
      <c r="Q52" s="25"/>
      <c r="R52"/>
      <c r="S52"/>
      <c r="T52"/>
      <c r="U52"/>
      <c r="V52" s="25"/>
    </row>
    <row r="53" spans="15:22" x14ac:dyDescent="0.35">
      <c r="O53" s="25"/>
      <c r="P53" s="25"/>
      <c r="Q53" s="25"/>
      <c r="R53"/>
      <c r="S53"/>
      <c r="T53"/>
      <c r="U53"/>
      <c r="V53" s="25"/>
    </row>
    <row r="54" spans="15:22" x14ac:dyDescent="0.35">
      <c r="O54" s="25"/>
      <c r="P54" s="25"/>
      <c r="Q54" s="25"/>
      <c r="R54"/>
      <c r="S54"/>
      <c r="T54"/>
      <c r="U54"/>
      <c r="V54" s="25"/>
    </row>
    <row r="55" spans="15:22" x14ac:dyDescent="0.35">
      <c r="O55" s="25"/>
      <c r="P55" s="25"/>
      <c r="Q55" s="25"/>
      <c r="R55"/>
      <c r="S55"/>
      <c r="T55"/>
      <c r="U55"/>
      <c r="V55" s="25"/>
    </row>
    <row r="56" spans="15:22" x14ac:dyDescent="0.35">
      <c r="O56" s="25"/>
      <c r="P56" s="25"/>
      <c r="Q56" s="25"/>
      <c r="R56"/>
      <c r="S56"/>
      <c r="T56"/>
      <c r="U56"/>
      <c r="V56" s="25"/>
    </row>
    <row r="57" spans="15:22" x14ac:dyDescent="0.35">
      <c r="O57" s="25"/>
      <c r="P57" s="25"/>
      <c r="Q57" s="25"/>
      <c r="R57"/>
      <c r="S57"/>
      <c r="T57"/>
      <c r="U57"/>
      <c r="V57" s="25"/>
    </row>
    <row r="58" spans="15:22" x14ac:dyDescent="0.35">
      <c r="O58" s="25"/>
      <c r="P58" s="25"/>
      <c r="Q58" s="25"/>
      <c r="R58"/>
      <c r="S58"/>
      <c r="T58"/>
      <c r="U58"/>
      <c r="V58" s="25"/>
    </row>
    <row r="59" spans="15:22" x14ac:dyDescent="0.35">
      <c r="O59" s="25"/>
      <c r="P59" s="25"/>
      <c r="Q59" s="25"/>
      <c r="R59"/>
      <c r="S59"/>
      <c r="T59"/>
      <c r="U59"/>
      <c r="V59" s="25"/>
    </row>
    <row r="60" spans="15:22" x14ac:dyDescent="0.35">
      <c r="O60" s="25"/>
      <c r="P60" s="25"/>
      <c r="Q60" s="25"/>
      <c r="R60"/>
      <c r="S60"/>
      <c r="T60"/>
      <c r="U60"/>
      <c r="V60" s="25"/>
    </row>
    <row r="61" spans="15:22" x14ac:dyDescent="0.35">
      <c r="O61" s="25"/>
      <c r="P61" s="25"/>
      <c r="Q61" s="25"/>
      <c r="R61"/>
      <c r="S61"/>
      <c r="T61"/>
      <c r="U61"/>
      <c r="V61" s="25"/>
    </row>
    <row r="62" spans="15:22" x14ac:dyDescent="0.35">
      <c r="O62" s="25"/>
      <c r="P62" s="25"/>
      <c r="Q62" s="25"/>
      <c r="R62"/>
      <c r="S62"/>
      <c r="T62"/>
      <c r="U62"/>
      <c r="V62" s="25"/>
    </row>
    <row r="63" spans="15:22" x14ac:dyDescent="0.35">
      <c r="O63" s="25"/>
      <c r="P63" s="25"/>
      <c r="Q63" s="25"/>
      <c r="R63"/>
      <c r="S63"/>
      <c r="T63"/>
      <c r="U63"/>
      <c r="V63" s="25"/>
    </row>
    <row r="64" spans="15:22" x14ac:dyDescent="0.35">
      <c r="O64" s="25"/>
      <c r="P64" s="25"/>
      <c r="Q64" s="25"/>
      <c r="R64"/>
      <c r="S64"/>
      <c r="T64"/>
      <c r="U64"/>
      <c r="V64" s="25"/>
    </row>
    <row r="65" spans="15:22" x14ac:dyDescent="0.35">
      <c r="O65" s="25"/>
      <c r="P65" s="25"/>
      <c r="Q65" s="25"/>
      <c r="R65"/>
      <c r="S65"/>
      <c r="T65"/>
      <c r="U65"/>
      <c r="V65" s="25"/>
    </row>
    <row r="66" spans="15:22" x14ac:dyDescent="0.35">
      <c r="O66" s="25"/>
      <c r="P66" s="25"/>
      <c r="Q66" s="25"/>
      <c r="R66"/>
      <c r="S66"/>
      <c r="T66"/>
      <c r="U66"/>
      <c r="V66" s="25"/>
    </row>
    <row r="67" spans="15:22" x14ac:dyDescent="0.35">
      <c r="O67" s="25"/>
      <c r="P67" s="25"/>
      <c r="Q67" s="25"/>
      <c r="R67"/>
      <c r="S67"/>
      <c r="T67"/>
      <c r="U67"/>
      <c r="V67" s="25"/>
    </row>
  </sheetData>
  <conditionalFormatting sqref="I2:J33">
    <cfRule type="containsText" dxfId="3" priority="1" operator="containsText" text="3. SELESAI (TERLAMBAT)">
      <formula>NOT(ISERROR(SEARCH(("3. SELESAI (TERLAMBAT)"),(I2))))</formula>
    </cfRule>
    <cfRule type="containsText" dxfId="2" priority="2" operator="containsText" text="4. SELESAI (TEPAT WAKTU)">
      <formula>NOT(ISERROR(SEARCH(("4. SELESAI (TEPAT WAKTU)"),(I2))))</formula>
    </cfRule>
    <cfRule type="containsText" dxfId="1" priority="3" operator="containsText" text="2. ON PROGRES (SESUAI RENCANA)">
      <formula>NOT(ISERROR(SEARCH(("2. ON PROGRES (SESUAI RENCANA)"),(I2))))</formula>
    </cfRule>
  </conditionalFormatting>
  <conditionalFormatting sqref="I2:J33">
    <cfRule type="containsText" dxfId="0" priority="4" operator="containsText" text="1. ON PROGRES (TERLAMBAT">
      <formula>NOT(ISERROR(SEARCH(("1. ON PROGRES (TERLAMBAT"),(I2))))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Acer_indonesiagt56hy@outlook.com</dc:creator>
  <cp:lastModifiedBy>Acer_indonesiagt56hy@outlook.com</cp:lastModifiedBy>
  <dcterms:created xsi:type="dcterms:W3CDTF">2026-06-24T05:51:59Z</dcterms:created>
  <dcterms:modified xsi:type="dcterms:W3CDTF">2026-06-24T06:48:11Z</dcterms:modified>
</cp:coreProperties>
</file>